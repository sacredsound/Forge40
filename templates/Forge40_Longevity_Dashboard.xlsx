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ngevity Dashboard" sheetId="1" r:id="rId1"/>
    <sheet name="Workout Tracker (40+)" sheetId="2" r:id="rId2"/>
    <sheet name="Recovery &amp; Habits Checklist" sheetId="3" r:id="rId3"/>
    <sheet name="AI Meal Planner Prompts" sheetId="4" r:id="rId4"/>
  </sheets>
  <calcPr calcId="124519" fullCalcOnLoad="1"/>
</workbook>
</file>

<file path=xl/sharedStrings.xml><?xml version="1.0" encoding="utf-8"?>
<sst xmlns="http://schemas.openxmlformats.org/spreadsheetml/2006/main" count="175" uniqueCount="136">
  <si>
    <t>FORGE40 LONGEVITY &amp; STRENGTH COACHING</t>
  </si>
  <si>
    <t xml:space="preserve"> Sustainable Strength, Injury Prevention, and Healthspan Optimization for Busy Adults 40+ </t>
  </si>
  <si>
    <t>WELCOME TO YOUR LONGEVITY DASHBOARD</t>
  </si>
  <si>
    <t>REAL-TIME PROGRESS METRICS (AUTO)</t>
  </si>
  <si>
    <t>Welcome to the Forge40 system! This dashboard is designed specifically to prevent injury, log joint health, track progressive strength, and establish crucial recovery habits.
How to use this system:
1. Start with 'Longevity Dashboard' to record your initial physical test scores.
2. Log your regular strength training under 'Workout Tracker (40+)' to track progressive overload.
3. Complete your daily recovery rituals in 'Recovery &amp; Habits Checklist' to build lasting healthspan.
4. Paste our advanced templates in 'AI Meal Planner' into ChatGPT/Claude to generate customized longevity diet plans.</t>
  </si>
  <si>
    <t>WORKOUTS METRIC</t>
  </si>
  <si>
    <t>HABITS SCORE</t>
  </si>
  <si>
    <t>STRENGTH CONSISTENCY</t>
  </si>
  <si>
    <t>Workouts Logged</t>
  </si>
  <si>
    <t>Habit Completion %</t>
  </si>
  <si>
    <t>Avg Joint Comfort %</t>
  </si>
  <si>
    <t>COACHING FOCUS &amp; RULES FOR 40+</t>
  </si>
  <si>
    <t>1. Joint Comfort &gt; Weight</t>
  </si>
  <si>
    <t>2. Sleep is #1 Anabolic</t>
  </si>
  <si>
    <t>3. Protein: 1.6-2.0g/kg</t>
  </si>
  <si>
    <t>Keep Joint Comfort &gt;= 7/10</t>
  </si>
  <si>
    <t>Target 7.5+ hrs sleep</t>
  </si>
  <si>
    <t>Build muscle, block aging</t>
  </si>
  <si>
    <t>YOUR BIOMARKERS &amp; LONGEVITY BASELINES</t>
  </si>
  <si>
    <t>Longevity Biomarker</t>
  </si>
  <si>
    <t>Target / Ideal Goal</t>
  </si>
  <si>
    <t>Your Baseline</t>
  </si>
  <si>
    <t>Target Date</t>
  </si>
  <si>
    <t>Latest Progress Update</t>
  </si>
  <si>
    <t>Status</t>
  </si>
  <si>
    <t>Resting Heart Rate (RHR)</t>
  </si>
  <si>
    <t>Under 60 BPM (Cardiovascular health)</t>
  </si>
  <si>
    <t>2026-07-01</t>
  </si>
  <si>
    <t>Improving</t>
  </si>
  <si>
    <t>Grip Strength (L + R sum)</t>
  </si>
  <si>
    <t>Male &gt; 90 kg, Female &gt; 50 kg (Vitality metric)</t>
  </si>
  <si>
    <t>2026-08-01</t>
  </si>
  <si>
    <t>On Track</t>
  </si>
  <si>
    <t>VO2 Max (Estimate)</t>
  </si>
  <si>
    <t>Male &gt; 40, Female &gt; 35 ml/kg/min (Healthspan key)</t>
  </si>
  <si>
    <t>2026-09-01</t>
  </si>
  <si>
    <t>Passive Hang (Dead Hang)</t>
  </si>
  <si>
    <t>60 Seconds (Shoulder health &amp; grip endurance)</t>
  </si>
  <si>
    <t>Single-Leg Balance</t>
  </si>
  <si>
    <t>30 Seconds eyes closed (Neuromuscular safety)</t>
  </si>
  <si>
    <t>Skeletal Muscle Mass (SMM)</t>
  </si>
  <si>
    <t>Prevent Sarcopenia (Increase or maintain index)</t>
  </si>
  <si>
    <t>Maintain</t>
  </si>
  <si>
    <t>2026-12-31</t>
  </si>
  <si>
    <t>Stable</t>
  </si>
  <si>
    <t>Joint Range of Motion (Mobility)</t>
  </si>
  <si>
    <t>Full overhead reach, deep squat (90 deg)</t>
  </si>
  <si>
    <t>Slightly limited</t>
  </si>
  <si>
    <t>PREMIUM HYBRID COACHING DETAILS</t>
  </si>
  <si>
    <t>Coaching Tier</t>
  </si>
  <si>
    <t>Forge40 Premium Hybrid (Weekly AI Check-ins + Human Certified Coach Reviews)</t>
  </si>
  <si>
    <t>Get live form feedback from a certified CSCS trainer on your lifting videos.</t>
  </si>
  <si>
    <t>Form Review Link</t>
  </si>
  <si>
    <t>https://forge40.com/members/form-upload</t>
  </si>
  <si>
    <t>Upload a video of your squats, deadlifts, or kettlebell swings weekly.</t>
  </si>
  <si>
    <t>FORGE40 PROGRESSIVE OVERLOAD LOGGER (40+ SAFE)</t>
  </si>
  <si>
    <t xml:space="preserve"> * Rule 1: Always do 10m Joint Mobility Warm-up | Rule 2: Never train to absolute failure (Keep RPE at 7-9) | Rule 3: Maintain Joint Comfort &gt;= 7/10 * </t>
  </si>
  <si>
    <t>Date</t>
  </si>
  <si>
    <t>Routine Track</t>
  </si>
  <si>
    <t>Exercise 1</t>
  </si>
  <si>
    <t>Set x Reps</t>
  </si>
  <si>
    <t>RPE</t>
  </si>
  <si>
    <t>Exercise 2</t>
  </si>
  <si>
    <t>Exercise 3</t>
  </si>
  <si>
    <t>Exercise 4</t>
  </si>
  <si>
    <t>Joint Comfort</t>
  </si>
  <si>
    <t>Post-Workout Recovery Notes</t>
  </si>
  <si>
    <t>2026-06-15</t>
  </si>
  <si>
    <t>Kettlebell Track</t>
  </si>
  <si>
    <t>KB Goblet Squat</t>
  </si>
  <si>
    <t>3 x 10 @ 24kg</t>
  </si>
  <si>
    <t>KB Single Arm Row</t>
  </si>
  <si>
    <t>3 x 8 @ 16kg</t>
  </si>
  <si>
    <t>KB Halos (Joints)</t>
  </si>
  <si>
    <t>3 x 10 @ 12kg</t>
  </si>
  <si>
    <t>Pushups (Incline)</t>
  </si>
  <si>
    <t>3 x 12 (BW)</t>
  </si>
  <si>
    <t>2026-06-17</t>
  </si>
  <si>
    <t>Bodyweight Track</t>
  </si>
  <si>
    <t>Supported Pistol Squat</t>
  </si>
  <si>
    <t>3 x 6 / leg</t>
  </si>
  <si>
    <t>Pull-up (Band Assist)</t>
  </si>
  <si>
    <t>3 x 5 reps</t>
  </si>
  <si>
    <t>Glute Bridges (Joints)</t>
  </si>
  <si>
    <t>3 x 15 reps</t>
  </si>
  <si>
    <t>Plank (Core)</t>
  </si>
  <si>
    <t>3 x 45 secs</t>
  </si>
  <si>
    <t>2026-06-19</t>
  </si>
  <si>
    <t>Barbell/DB Track</t>
  </si>
  <si>
    <t>Dumbbell Bench Press</t>
  </si>
  <si>
    <t>3 x 8 @ 20kg</t>
  </si>
  <si>
    <t>Dumbbell Romanian DL</t>
  </si>
  <si>
    <t>3 x 10 @ 22kg</t>
  </si>
  <si>
    <t>DB Shoulder Press</t>
  </si>
  <si>
    <t>3 x 8 @ 12kg</t>
  </si>
  <si>
    <t>Farmer's Carry</t>
  </si>
  <si>
    <t>3 x 50m @ 24kg</t>
  </si>
  <si>
    <t>2026-06-22</t>
  </si>
  <si>
    <t>3 x 10 @ 16kg</t>
  </si>
  <si>
    <t>3 x 15 (BW)</t>
  </si>
  <si>
    <t>2026-06-24</t>
  </si>
  <si>
    <t>3 x 7 / leg</t>
  </si>
  <si>
    <t>3 x 6 reps</t>
  </si>
  <si>
    <t>3 x 50 secs</t>
  </si>
  <si>
    <t>2026-06-26</t>
  </si>
  <si>
    <t>3 x 10 @ 20kg</t>
  </si>
  <si>
    <t>3 x 8 @ 14kg</t>
  </si>
  <si>
    <t>FORGE40 LONGEVITY &amp; RECOVERY RITUALS</t>
  </si>
  <si>
    <t xml:space="preserve"> * Rule 4: Deep sleep is the foundation of anti-aging. Enter "1" for completed habits, "0" for incomplete. * </t>
  </si>
  <si>
    <t>Sleep (7.5h+)</t>
  </si>
  <si>
    <t>Hydration (3L+)</t>
  </si>
  <si>
    <t>Protein Target</t>
  </si>
  <si>
    <t>Mobility (10m)</t>
  </si>
  <si>
    <t>Zone 2 (30m+)</t>
  </si>
  <si>
    <t>Step Count (8k+)</t>
  </si>
  <si>
    <t>Habit Completion</t>
  </si>
  <si>
    <t>Recovery Status Notes</t>
  </si>
  <si>
    <t>92% Recovery. High energy post KB workout.</t>
  </si>
  <si>
    <t>2026-06-16</t>
  </si>
  <si>
    <t>85% Recovery. Conversational run felt smooth.</t>
  </si>
  <si>
    <t>65% Recovery. Missed sleep target, slightly sluggish.</t>
  </si>
  <si>
    <t>2026-06-18</t>
  </si>
  <si>
    <t>100% Recovery. High productivity, joint comfort excellent.</t>
  </si>
  <si>
    <t>80% Recovery. Heavy weights felt strong. Sleep deep.</t>
  </si>
  <si>
    <t>2026-06-20</t>
  </si>
  <si>
    <t>70% Recovery. Active mobility skipped but good walking volume.</t>
  </si>
  <si>
    <t>FORGE40 COPy/PASTE AI MEAL PLANNING ASSISTANT</t>
  </si>
  <si>
    <t xml:space="preserve"> * Copy and paste these advanced prompts into ChatGPT, Claude, or Gemini to generate fully personalized, professional nutrition templates. * </t>
  </si>
  <si>
    <t>Meal Plan Objective</t>
  </si>
  <si>
    <t>Interactive Prompt (Ready to Copy)</t>
  </si>
  <si>
    <t>1. High-Protein &amp; Anti-Inflammatory
(Sarcopenia &amp; Joint Longevity Focus)</t>
  </si>
  <si>
    <t>Act as an elite sports dietitian specializing in muscle preservation (sarcopenia prevention) and joint health for adults over 40. I want you to create a personalized 7-day anti-inflammatory, high-protein meal plan. Keep the daily protein target between 1.6g to 2.0g per kg of my body weight. Specifically focus on:
1. High-collagen and rich Omega-3 fatty acids (wild salmon, sardines, walnuts, bone broth) for joint repair.
2. Highly anti-inflammatory ingredients (turmeric, ginger, blueberries, extra virgin olive oil, cruciferous vegetables).
3. High-quality protein distributed across 3 meals + 1 post-workout snack to optimize muscle protein synthesis.
Please provide a complete 7-day menu grid, an structured grocery shopping list categorized by store section, and rapid preparation instructions for busy professionals. My weight is [ENTER WEIGHT, e.g., 82kg].</t>
  </si>
  <si>
    <t>2. Busy Professional Prep Playbook
(Glucose Control &amp; Cognitive Vitality)</t>
  </si>
  <si>
    <t>You are an expert chef and meal-prep strategist for busy executives. Create a 'Low Time, High Nutrition' meal planning template designed for an adult aged 40+ aiming to optimize cognitive energy, prevent glucose spikes, and support cardiovascular fitness.
The plan must obey these constraints:
- No meal can take longer than 20 minutes of active prep time.
- Incorporate structured batch-cooking elements on Sunday (e.g., roasted Mediterranean chicken, bulk quinoa, hardboiled eggs).
- Focus on low-glycemic carbs (sweet potato, wild rice, lentils) to ensure zero midday brain fog.
- Include portable, high-protein longevity snacks.
Provide a 5-day weekday menu, a Sunday 2-hour prep playbook, and a minimalist grocery list.</t>
  </si>
  <si>
    <t>3. Joint Repair &amp; Cellular Anti-Aging
(Connective Tissue Recovery)</t>
  </si>
  <si>
    <t>Act as an anti-aging and nutritional science physician. I want a joint-reconstruction-focused 3-day meal plan. This plan should maximize specific micronutrients critical for connective tissue remodeling and soft-tissue injury prevention:
- Collagen Synthesis Boosters: High Vitamin C (citrus, bell peppers) paired with proline-glycine rich proteins.
- Tissue Repair Accelerators: Zinc, Magnesium, and Manganese-rich seeds, shellfish, and greens.
- Endogenous Inflammation Blockers: High-quality polyphenols and heavy-duty antioxidants.
Generate a science-backed, tasty, whole-food-only meal plan, and list the medical reasoning behind each ingredient selection for someone rebuilding joint structure in their 40s and 50s.</t>
  </si>
</sst>
</file>

<file path=xl/styles.xml><?xml version="1.0" encoding="utf-8"?>
<styleSheet xmlns="http://schemas.openxmlformats.org/spreadsheetml/2006/main">
  <numFmts count="2">
    <numFmt numFmtId="164" formatCode="0.0%"/>
    <numFmt numFmtId="165" formatCode="#,##0"/>
  </numFmts>
  <fonts count="11">
    <font>
      <sz val="11"/>
      <color theme="1"/>
      <name val="Calibri"/>
      <family val="2"/>
      <scheme val="minor"/>
    </font>
    <font>
      <b/>
      <sz val="18"/>
      <color rgb="FFFFFFFF"/>
      <name val="Segoe UI"/>
      <family val="2"/>
    </font>
    <font>
      <i/>
      <sz val="11"/>
      <color rgb="FFEBF1EE"/>
      <name val="Segoe UI"/>
      <family val="2"/>
    </font>
    <font>
      <b/>
      <sz val="12"/>
      <color rgb="FFFFFFFF"/>
      <name val="Segoe UI"/>
      <family val="2"/>
    </font>
    <font>
      <sz val="10"/>
      <color rgb="FF132E27"/>
      <name val="Segoe UI"/>
      <family val="2"/>
    </font>
    <font>
      <b/>
      <sz val="9"/>
      <color rgb="FF555555"/>
      <name val="Segoe UI"/>
      <family val="2"/>
    </font>
    <font>
      <b/>
      <sz val="12"/>
      <color rgb="FFFF5A36"/>
      <name val="Segoe UI"/>
      <family val="2"/>
    </font>
    <font>
      <b/>
      <sz val="11"/>
      <color rgb="FF132E27"/>
      <name val="Segoe UI"/>
      <family val="2"/>
    </font>
    <font>
      <sz val="10"/>
      <color theme="1"/>
      <name val="Segoe UI"/>
      <family val="2"/>
    </font>
    <font>
      <b/>
      <sz val="10"/>
      <color rgb="FF132E27"/>
      <name val="Segoe UI"/>
      <family val="2"/>
    </font>
    <font>
      <sz val="9"/>
      <color rgb="FF111111"/>
      <name val="Courier New"/>
      <family val="2"/>
    </font>
  </fonts>
  <fills count="8">
    <fill>
      <patternFill patternType="none"/>
    </fill>
    <fill>
      <patternFill patternType="gray125"/>
    </fill>
    <fill>
      <patternFill patternType="solid">
        <fgColor rgb="FF132E27"/>
        <bgColor indexed="64"/>
      </patternFill>
    </fill>
    <fill>
      <patternFill patternType="solid">
        <fgColor rgb="FFEBF1EE"/>
        <bgColor indexed="64"/>
      </patternFill>
    </fill>
    <fill>
      <patternFill patternType="solid">
        <fgColor rgb="FFF4F7F6"/>
        <bgColor indexed="64"/>
      </patternFill>
    </fill>
    <fill>
      <patternFill patternType="solid">
        <fgColor rgb="FFFFF0ED"/>
        <bgColor indexed="64"/>
      </patternFill>
    </fill>
    <fill>
      <patternFill patternType="solid">
        <fgColor rgb="FFD1DED9"/>
        <bgColor indexed="64"/>
      </patternFill>
    </fill>
    <fill>
      <patternFill patternType="solid">
        <fgColor rgb="FFF5F5F5"/>
        <bgColor indexed="64"/>
      </patternFill>
    </fill>
  </fills>
  <borders count="7">
    <border>
      <left/>
      <right/>
      <top/>
      <bottom/>
      <diagonal/>
    </border>
    <border>
      <left style="thin">
        <color rgb="FF132E27"/>
      </left>
      <right style="thin">
        <color rgb="FF132E27"/>
      </right>
      <top style="thin">
        <color rgb="FF132E27"/>
      </top>
      <bottom style="thin">
        <color rgb="FF132E27"/>
      </bottom>
      <diagonal/>
    </border>
    <border>
      <left style="thin">
        <color rgb="FFD1DED9"/>
      </left>
      <right style="thin">
        <color rgb="FFD1DED9"/>
      </right>
      <top style="medium">
        <color rgb="FF132E27"/>
      </top>
      <bottom style="thin">
        <color rgb="FFD1DED9"/>
      </bottom>
      <diagonal/>
    </border>
    <border>
      <left style="thin">
        <color rgb="FFB2C5BE"/>
      </left>
      <right style="thin">
        <color rgb="FFB2C5BE"/>
      </right>
      <top style="thin">
        <color rgb="FFB2C5BE"/>
      </top>
      <bottom style="thin">
        <color rgb="FFB2C5BE"/>
      </bottom>
      <diagonal/>
    </border>
    <border>
      <left style="thin">
        <color rgb="FFD1DED9"/>
      </left>
      <right style="thin">
        <color rgb="FFD1DED9"/>
      </right>
      <top style="thin">
        <color rgb="FFD1DED9"/>
      </top>
      <bottom style="thin">
        <color rgb="FFD1DED9"/>
      </bottom>
      <diagonal/>
    </border>
    <border>
      <left style="thin">
        <color rgb="FFFFD0C7"/>
      </left>
      <right style="thin">
        <color rgb="FFFFD0C7"/>
      </right>
      <top style="thin">
        <color rgb="FFFFD0C7"/>
      </top>
      <bottom style="thin">
        <color rgb="FFFFD0C7"/>
      </bottom>
      <diagonal/>
    </border>
    <border>
      <left style="thin">
        <color rgb="FFE0E8E5"/>
      </left>
      <right style="thin">
        <color rgb="FFE0E8E5"/>
      </right>
      <top style="thin">
        <color rgb="FFE0E8E5"/>
      </top>
      <bottom style="thin">
        <color rgb="FFE0E8E5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top" wrapText="1"/>
    </xf>
    <xf numFmtId="0" fontId="5" fillId="4" borderId="4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164" fontId="7" fillId="3" borderId="3" xfId="0" applyNumberFormat="1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left" vertical="center"/>
    </xf>
    <xf numFmtId="0" fontId="9" fillId="6" borderId="3" xfId="0" applyFont="1" applyFill="1" applyBorder="1" applyAlignment="1">
      <alignment horizontal="left" vertical="center"/>
    </xf>
    <xf numFmtId="165" fontId="8" fillId="0" borderId="6" xfId="0" applyNumberFormat="1" applyFont="1" applyBorder="1" applyAlignment="1">
      <alignment horizontal="right" vertical="center"/>
    </xf>
    <xf numFmtId="0" fontId="10" fillId="7" borderId="4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orge40.com/members/form-uploa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0"/>
  <sheetViews>
    <sheetView showGridLines="0" tabSelected="1" workbookViewId="0"/>
  </sheetViews>
  <sheetFormatPr defaultRowHeight="15"/>
  <cols>
    <col min="1" max="1" width="3.7109375" customWidth="1"/>
    <col min="2" max="2" width="32.7109375" customWidth="1"/>
    <col min="3" max="7" width="18.7109375" customWidth="1"/>
    <col min="8" max="8" width="3.7109375" customWidth="1"/>
  </cols>
  <sheetData>
    <row r="1" spans="2:7" ht="30" customHeight="1">
      <c r="B1" s="1" t="s">
        <v>0</v>
      </c>
      <c r="C1" s="1"/>
      <c r="D1" s="1"/>
      <c r="E1" s="1"/>
      <c r="F1" s="1"/>
      <c r="G1" s="1"/>
    </row>
    <row r="2" spans="2:7" ht="20" customHeight="1">
      <c r="B2" s="2" t="s">
        <v>1</v>
      </c>
      <c r="C2" s="2"/>
      <c r="D2" s="2"/>
      <c r="E2" s="2"/>
      <c r="F2" s="2"/>
      <c r="G2" s="2"/>
    </row>
    <row r="3" spans="2:7" ht="20" customHeight="1"/>
    <row r="4" spans="2:7" ht="20" customHeight="1">
      <c r="B4" s="3" t="s">
        <v>2</v>
      </c>
      <c r="C4" s="3"/>
      <c r="D4" s="3"/>
      <c r="E4" s="3" t="s">
        <v>3</v>
      </c>
      <c r="F4" s="3"/>
      <c r="G4" s="3"/>
    </row>
    <row r="5" spans="2:7" ht="20" customHeight="1">
      <c r="B5" s="4" t="s">
        <v>4</v>
      </c>
      <c r="C5" s="4"/>
      <c r="D5" s="4"/>
      <c r="E5" s="5" t="s">
        <v>5</v>
      </c>
      <c r="F5" s="5" t="s">
        <v>6</v>
      </c>
      <c r="G5" s="5" t="s">
        <v>7</v>
      </c>
    </row>
    <row r="6" spans="2:7" ht="20" customHeight="1">
      <c r="B6" s="4"/>
      <c r="C6" s="4"/>
      <c r="D6" s="4"/>
      <c r="E6" s="6">
        <f>COUNTA('Workout Tracker (40+)'!B7:B36)</f>
        <v>0</v>
      </c>
      <c r="F6" s="7">
        <f>AVERAGE('Recovery &amp; Habits Checklist'!I7:I36)</f>
        <v>0</v>
      </c>
      <c r="G6" s="7">
        <f>AVERAGE('Workout Tracker (40+)'!O7:O36)/10</f>
        <v>0</v>
      </c>
    </row>
    <row r="7" spans="2:7" ht="20" customHeight="1">
      <c r="B7" s="4"/>
      <c r="C7" s="4"/>
      <c r="D7" s="4"/>
      <c r="E7" s="8" t="s">
        <v>8</v>
      </c>
      <c r="F7" s="8" t="s">
        <v>9</v>
      </c>
      <c r="G7" s="8" t="s">
        <v>10</v>
      </c>
    </row>
    <row r="8" spans="2:7" ht="20" customHeight="1">
      <c r="B8" s="4"/>
      <c r="C8" s="4"/>
      <c r="D8" s="4"/>
    </row>
    <row r="9" spans="2:7" ht="20" customHeight="1">
      <c r="B9" s="4"/>
      <c r="C9" s="4"/>
      <c r="D9" s="4"/>
      <c r="E9" s="9" t="s">
        <v>11</v>
      </c>
      <c r="F9" s="9"/>
      <c r="G9" s="9"/>
    </row>
    <row r="10" spans="2:7" ht="20" customHeight="1">
      <c r="B10" s="4"/>
      <c r="C10" s="4"/>
      <c r="D10" s="4"/>
      <c r="E10" s="8" t="s">
        <v>12</v>
      </c>
      <c r="F10" s="8" t="s">
        <v>13</v>
      </c>
      <c r="G10" s="8" t="s">
        <v>14</v>
      </c>
    </row>
    <row r="11" spans="2:7" ht="20" customHeight="1">
      <c r="B11" s="4"/>
      <c r="C11" s="4"/>
      <c r="D11" s="4"/>
      <c r="E11" s="8" t="s">
        <v>15</v>
      </c>
      <c r="F11" s="8" t="s">
        <v>16</v>
      </c>
      <c r="G11" s="8" t="s">
        <v>17</v>
      </c>
    </row>
    <row r="12" spans="2:7" ht="20" customHeight="1"/>
    <row r="13" spans="2:7" ht="20" customHeight="1">
      <c r="B13" s="3" t="s">
        <v>18</v>
      </c>
      <c r="C13" s="3"/>
      <c r="D13" s="3"/>
      <c r="E13" s="3"/>
      <c r="F13" s="3"/>
      <c r="G13" s="3"/>
    </row>
    <row r="14" spans="2:7" ht="20" customHeight="1">
      <c r="B14" s="9" t="s">
        <v>19</v>
      </c>
      <c r="C14" s="9" t="s">
        <v>20</v>
      </c>
      <c r="D14" s="9" t="s">
        <v>21</v>
      </c>
      <c r="E14" s="9" t="s">
        <v>22</v>
      </c>
      <c r="F14" s="9" t="s">
        <v>23</v>
      </c>
      <c r="G14" s="9" t="s">
        <v>24</v>
      </c>
    </row>
    <row r="15" spans="2:7" ht="20" customHeight="1">
      <c r="B15" s="10" t="s">
        <v>25</v>
      </c>
      <c r="C15" s="8" t="s">
        <v>26</v>
      </c>
      <c r="D15" s="8">
        <v>65</v>
      </c>
      <c r="E15" s="8" t="s">
        <v>27</v>
      </c>
      <c r="F15" s="8">
        <v>62</v>
      </c>
      <c r="G15" s="8" t="s">
        <v>28</v>
      </c>
    </row>
    <row r="16" spans="2:7" ht="20" customHeight="1">
      <c r="B16" s="10" t="s">
        <v>29</v>
      </c>
      <c r="C16" s="8" t="s">
        <v>30</v>
      </c>
      <c r="D16" s="8">
        <v>85</v>
      </c>
      <c r="E16" s="8" t="s">
        <v>31</v>
      </c>
      <c r="F16" s="8">
        <v>88</v>
      </c>
      <c r="G16" s="8" t="s">
        <v>32</v>
      </c>
    </row>
    <row r="17" spans="2:7" ht="20" customHeight="1">
      <c r="B17" s="10" t="s">
        <v>33</v>
      </c>
      <c r="C17" s="8" t="s">
        <v>34</v>
      </c>
      <c r="D17" s="8">
        <v>38</v>
      </c>
      <c r="E17" s="8" t="s">
        <v>35</v>
      </c>
      <c r="F17" s="8">
        <v>39.5</v>
      </c>
      <c r="G17" s="8" t="s">
        <v>28</v>
      </c>
    </row>
    <row r="18" spans="2:7" ht="20" customHeight="1">
      <c r="B18" s="10" t="s">
        <v>36</v>
      </c>
      <c r="C18" s="8" t="s">
        <v>37</v>
      </c>
      <c r="D18" s="8">
        <v>45</v>
      </c>
      <c r="E18" s="8" t="s">
        <v>27</v>
      </c>
      <c r="F18" s="8">
        <v>50</v>
      </c>
      <c r="G18" s="8" t="s">
        <v>32</v>
      </c>
    </row>
    <row r="19" spans="2:7" ht="20" customHeight="1">
      <c r="B19" s="10" t="s">
        <v>38</v>
      </c>
      <c r="C19" s="8" t="s">
        <v>39</v>
      </c>
      <c r="D19" s="8">
        <v>18</v>
      </c>
      <c r="E19" s="8" t="s">
        <v>27</v>
      </c>
      <c r="F19" s="8">
        <v>22</v>
      </c>
      <c r="G19" s="8" t="s">
        <v>32</v>
      </c>
    </row>
    <row r="20" spans="2:7" ht="20" customHeight="1">
      <c r="B20" s="10" t="s">
        <v>40</v>
      </c>
      <c r="C20" s="8" t="s">
        <v>41</v>
      </c>
      <c r="D20" s="8" t="s">
        <v>42</v>
      </c>
      <c r="E20" s="8" t="s">
        <v>43</v>
      </c>
      <c r="F20" s="8" t="s">
        <v>44</v>
      </c>
      <c r="G20" s="8" t="s">
        <v>44</v>
      </c>
    </row>
    <row r="21" spans="2:7" ht="20" customHeight="1">
      <c r="B21" s="10" t="s">
        <v>45</v>
      </c>
      <c r="C21" s="8" t="s">
        <v>46</v>
      </c>
      <c r="D21" s="8" t="s">
        <v>47</v>
      </c>
      <c r="E21" s="8" t="s">
        <v>31</v>
      </c>
      <c r="F21" s="8" t="s">
        <v>28</v>
      </c>
      <c r="G21" s="8" t="s">
        <v>32</v>
      </c>
    </row>
    <row r="22" spans="2:7" ht="20" customHeight="1"/>
    <row r="23" spans="2:7" ht="20" customHeight="1">
      <c r="B23" s="3" t="s">
        <v>48</v>
      </c>
      <c r="C23" s="3"/>
      <c r="D23" s="3"/>
      <c r="E23" s="3"/>
      <c r="F23" s="3"/>
      <c r="G23" s="3"/>
    </row>
    <row r="24" spans="2:7" ht="20" customHeight="1">
      <c r="B24" s="11" t="s">
        <v>49</v>
      </c>
      <c r="C24" s="10" t="s">
        <v>50</v>
      </c>
      <c r="D24" s="10" t="s">
        <v>51</v>
      </c>
      <c r="E24" s="10"/>
      <c r="F24" s="10"/>
      <c r="G24" s="10"/>
    </row>
    <row r="25" spans="2:7" ht="20" customHeight="1">
      <c r="B25" s="11" t="s">
        <v>52</v>
      </c>
      <c r="C25" s="10" t="s">
        <v>53</v>
      </c>
      <c r="D25" s="10" t="s">
        <v>54</v>
      </c>
      <c r="E25" s="10"/>
      <c r="F25" s="10"/>
      <c r="G25" s="10"/>
    </row>
    <row r="26" spans="2:7" ht="20" customHeight="1"/>
    <row r="27" spans="2:7" ht="20" customHeight="1"/>
    <row r="28" spans="2:7" ht="20" customHeight="1"/>
    <row r="29" spans="2:7" ht="20" customHeight="1"/>
    <row r="30" spans="2:7" ht="20" customHeight="1"/>
    <row r="31" spans="2:7" ht="20" customHeight="1"/>
    <row r="32" spans="2:7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</sheetData>
  <mergeCells count="10">
    <mergeCell ref="B1:G1"/>
    <mergeCell ref="B2:G2"/>
    <mergeCell ref="B4:D4"/>
    <mergeCell ref="E4:G4"/>
    <mergeCell ref="B5:D11"/>
    <mergeCell ref="E9:G9"/>
    <mergeCell ref="B13:G13"/>
    <mergeCell ref="B23:G23"/>
    <mergeCell ref="D24:G24"/>
    <mergeCell ref="D25:G25"/>
  </mergeCells>
  <hyperlinks>
    <hyperlink ref="C2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0"/>
  <sheetViews>
    <sheetView showGridLines="0" workbookViewId="0"/>
  </sheetViews>
  <sheetFormatPr defaultRowHeight="15"/>
  <cols>
    <col min="1" max="1" width="3.7109375" customWidth="1"/>
    <col min="2" max="2" width="12.7109375" customWidth="1"/>
    <col min="3" max="3" width="18.7109375" customWidth="1"/>
    <col min="4" max="4" width="20.7109375" customWidth="1"/>
    <col min="5" max="5" width="12.7109375" customWidth="1"/>
    <col min="6" max="6" width="8.7109375" customWidth="1"/>
    <col min="7" max="7" width="20.7109375" customWidth="1"/>
    <col min="8" max="8" width="12.7109375" customWidth="1"/>
    <col min="9" max="9" width="8.7109375" customWidth="1"/>
    <col min="10" max="10" width="20.7109375" customWidth="1"/>
    <col min="11" max="11" width="12.7109375" customWidth="1"/>
    <col min="12" max="12" width="8.7109375" customWidth="1"/>
    <col min="13" max="13" width="20.7109375" customWidth="1"/>
    <col min="14" max="14" width="12.7109375" customWidth="1"/>
    <col min="15" max="15" width="11.7109375" customWidth="1"/>
    <col min="16" max="16" width="25.7109375" customWidth="1"/>
  </cols>
  <sheetData>
    <row r="1" spans="2:17" ht="25" customHeight="1">
      <c r="B1" s="1" t="s">
        <v>55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2:17" ht="20" customHeight="1">
      <c r="B2" s="2" t="s">
        <v>56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2:17" ht="20" customHeight="1"/>
    <row r="4" spans="2:17" ht="10" customHeight="1"/>
    <row r="5" spans="2:17" ht="25" customHeight="1">
      <c r="B5" s="9" t="s">
        <v>57</v>
      </c>
      <c r="C5" s="9" t="s">
        <v>58</v>
      </c>
      <c r="D5" s="9" t="s">
        <v>59</v>
      </c>
      <c r="E5" s="9" t="s">
        <v>60</v>
      </c>
      <c r="F5" s="9" t="s">
        <v>61</v>
      </c>
      <c r="G5" s="9" t="s">
        <v>62</v>
      </c>
      <c r="H5" s="9" t="s">
        <v>60</v>
      </c>
      <c r="I5" s="9" t="s">
        <v>61</v>
      </c>
      <c r="J5" s="9" t="s">
        <v>63</v>
      </c>
      <c r="K5" s="9" t="s">
        <v>60</v>
      </c>
      <c r="L5" s="9" t="s">
        <v>61</v>
      </c>
      <c r="M5" s="9" t="s">
        <v>64</v>
      </c>
      <c r="N5" s="9" t="s">
        <v>60</v>
      </c>
      <c r="O5" s="9" t="s">
        <v>61</v>
      </c>
      <c r="P5" s="9" t="s">
        <v>65</v>
      </c>
      <c r="Q5" s="9" t="s">
        <v>66</v>
      </c>
    </row>
    <row r="6" spans="2:17" ht="20" customHeight="1">
      <c r="B6" s="8" t="s">
        <v>67</v>
      </c>
      <c r="C6" s="8" t="s">
        <v>68</v>
      </c>
      <c r="D6" s="10" t="s">
        <v>69</v>
      </c>
      <c r="E6" s="8" t="s">
        <v>70</v>
      </c>
      <c r="F6" s="8">
        <v>8</v>
      </c>
      <c r="G6" s="10" t="s">
        <v>71</v>
      </c>
      <c r="H6" s="8" t="s">
        <v>72</v>
      </c>
      <c r="I6" s="8">
        <v>7</v>
      </c>
      <c r="J6" s="10" t="s">
        <v>73</v>
      </c>
      <c r="K6" s="8" t="s">
        <v>74</v>
      </c>
      <c r="L6" s="8">
        <v>6</v>
      </c>
      <c r="M6" s="10" t="s">
        <v>75</v>
      </c>
      <c r="N6" s="8" t="s">
        <v>76</v>
      </c>
      <c r="O6" s="8">
        <v>8</v>
      </c>
      <c r="P6" s="10">
        <v>9</v>
      </c>
    </row>
    <row r="7" spans="2:17">
      <c r="B7" s="8" t="s">
        <v>77</v>
      </c>
      <c r="C7" s="8" t="s">
        <v>78</v>
      </c>
      <c r="D7" s="10" t="s">
        <v>79</v>
      </c>
      <c r="E7" s="8" t="s">
        <v>80</v>
      </c>
      <c r="F7" s="8">
        <v>8</v>
      </c>
      <c r="G7" s="10" t="s">
        <v>81</v>
      </c>
      <c r="H7" s="8" t="s">
        <v>82</v>
      </c>
      <c r="I7" s="8">
        <v>8</v>
      </c>
      <c r="J7" s="10" t="s">
        <v>83</v>
      </c>
      <c r="K7" s="8" t="s">
        <v>84</v>
      </c>
      <c r="L7" s="8">
        <v>6</v>
      </c>
      <c r="M7" s="10" t="s">
        <v>85</v>
      </c>
      <c r="N7" s="8" t="s">
        <v>86</v>
      </c>
      <c r="O7" s="8">
        <v>7</v>
      </c>
      <c r="P7" s="10">
        <v>8</v>
      </c>
    </row>
    <row r="8" spans="2:17">
      <c r="B8" s="8" t="s">
        <v>87</v>
      </c>
      <c r="C8" s="8" t="s">
        <v>88</v>
      </c>
      <c r="D8" s="10" t="s">
        <v>89</v>
      </c>
      <c r="E8" s="8" t="s">
        <v>90</v>
      </c>
      <c r="F8" s="8">
        <v>8</v>
      </c>
      <c r="G8" s="10" t="s">
        <v>91</v>
      </c>
      <c r="H8" s="8" t="s">
        <v>92</v>
      </c>
      <c r="I8" s="8">
        <v>7</v>
      </c>
      <c r="J8" s="10" t="s">
        <v>93</v>
      </c>
      <c r="K8" s="8" t="s">
        <v>94</v>
      </c>
      <c r="L8" s="8">
        <v>8</v>
      </c>
      <c r="M8" s="10" t="s">
        <v>95</v>
      </c>
      <c r="N8" s="8" t="s">
        <v>96</v>
      </c>
      <c r="O8" s="8">
        <v>7</v>
      </c>
      <c r="P8" s="10">
        <v>9</v>
      </c>
    </row>
    <row r="9" spans="2:17">
      <c r="B9" s="8" t="s">
        <v>97</v>
      </c>
      <c r="C9" s="8" t="s">
        <v>68</v>
      </c>
      <c r="D9" s="10" t="s">
        <v>69</v>
      </c>
      <c r="E9" s="8" t="s">
        <v>70</v>
      </c>
      <c r="F9" s="8">
        <v>7.5</v>
      </c>
      <c r="G9" s="10" t="s">
        <v>71</v>
      </c>
      <c r="H9" s="8" t="s">
        <v>90</v>
      </c>
      <c r="I9" s="8">
        <v>8</v>
      </c>
      <c r="J9" s="10" t="s">
        <v>73</v>
      </c>
      <c r="K9" s="8" t="s">
        <v>98</v>
      </c>
      <c r="L9" s="8">
        <v>7</v>
      </c>
      <c r="M9" s="10" t="s">
        <v>75</v>
      </c>
      <c r="N9" s="8" t="s">
        <v>99</v>
      </c>
      <c r="O9" s="8">
        <v>8</v>
      </c>
      <c r="P9" s="10">
        <v>9</v>
      </c>
    </row>
    <row r="10" spans="2:17">
      <c r="B10" s="8" t="s">
        <v>100</v>
      </c>
      <c r="C10" s="8" t="s">
        <v>78</v>
      </c>
      <c r="D10" s="10" t="s">
        <v>79</v>
      </c>
      <c r="E10" s="8" t="s">
        <v>101</v>
      </c>
      <c r="F10" s="8">
        <v>8</v>
      </c>
      <c r="G10" s="10" t="s">
        <v>81</v>
      </c>
      <c r="H10" s="8" t="s">
        <v>102</v>
      </c>
      <c r="I10" s="8">
        <v>8.5</v>
      </c>
      <c r="J10" s="10" t="s">
        <v>83</v>
      </c>
      <c r="K10" s="8" t="s">
        <v>84</v>
      </c>
      <c r="L10" s="8">
        <v>6</v>
      </c>
      <c r="M10" s="10" t="s">
        <v>85</v>
      </c>
      <c r="N10" s="8" t="s">
        <v>103</v>
      </c>
      <c r="O10" s="8">
        <v>8</v>
      </c>
      <c r="P10" s="10">
        <v>8</v>
      </c>
    </row>
    <row r="11" spans="2:17">
      <c r="B11" s="8" t="s">
        <v>104</v>
      </c>
      <c r="C11" s="8" t="s">
        <v>88</v>
      </c>
      <c r="D11" s="10" t="s">
        <v>89</v>
      </c>
      <c r="E11" s="8" t="s">
        <v>105</v>
      </c>
      <c r="F11" s="8">
        <v>8</v>
      </c>
      <c r="G11" s="10" t="s">
        <v>91</v>
      </c>
      <c r="H11" s="8" t="s">
        <v>70</v>
      </c>
      <c r="I11" s="8">
        <v>8</v>
      </c>
      <c r="J11" s="10" t="s">
        <v>93</v>
      </c>
      <c r="K11" s="8" t="s">
        <v>106</v>
      </c>
      <c r="L11" s="8">
        <v>8.5</v>
      </c>
      <c r="M11" s="10" t="s">
        <v>95</v>
      </c>
      <c r="N11" s="8" t="s">
        <v>96</v>
      </c>
      <c r="O11" s="8">
        <v>7</v>
      </c>
      <c r="P11" s="10">
        <v>9</v>
      </c>
    </row>
    <row r="12" spans="2:17">
      <c r="B12" s="8"/>
      <c r="C12" s="8"/>
      <c r="D12" s="10"/>
      <c r="E12" s="8"/>
      <c r="F12" s="8"/>
      <c r="G12" s="10"/>
      <c r="H12" s="8"/>
      <c r="I12" s="8"/>
      <c r="J12" s="10"/>
      <c r="K12" s="8"/>
      <c r="L12" s="8"/>
      <c r="M12" s="10"/>
      <c r="N12" s="8"/>
      <c r="O12" s="8"/>
      <c r="P12" s="10"/>
    </row>
    <row r="13" spans="2:17">
      <c r="B13" s="8"/>
      <c r="C13" s="8"/>
      <c r="D13" s="10"/>
      <c r="E13" s="8"/>
      <c r="F13" s="8"/>
      <c r="G13" s="10"/>
      <c r="H13" s="8"/>
      <c r="I13" s="8"/>
      <c r="J13" s="10"/>
      <c r="K13" s="8"/>
      <c r="L13" s="8"/>
      <c r="M13" s="10"/>
      <c r="N13" s="8"/>
      <c r="O13" s="8"/>
      <c r="P13" s="10"/>
    </row>
    <row r="14" spans="2:17">
      <c r="B14" s="8"/>
      <c r="C14" s="8"/>
      <c r="D14" s="10"/>
      <c r="E14" s="8"/>
      <c r="F14" s="8"/>
      <c r="G14" s="10"/>
      <c r="H14" s="8"/>
      <c r="I14" s="8"/>
      <c r="J14" s="10"/>
      <c r="K14" s="8"/>
      <c r="L14" s="8"/>
      <c r="M14" s="10"/>
      <c r="N14" s="8"/>
      <c r="O14" s="8"/>
      <c r="P14" s="10"/>
    </row>
    <row r="15" spans="2:17">
      <c r="B15" s="8"/>
      <c r="C15" s="8"/>
      <c r="D15" s="10"/>
      <c r="E15" s="8"/>
      <c r="F15" s="8"/>
      <c r="G15" s="10"/>
      <c r="H15" s="8"/>
      <c r="I15" s="8"/>
      <c r="J15" s="10"/>
      <c r="K15" s="8"/>
      <c r="L15" s="8"/>
      <c r="M15" s="10"/>
      <c r="N15" s="8"/>
      <c r="O15" s="8"/>
      <c r="P15" s="10"/>
    </row>
    <row r="16" spans="2:17">
      <c r="B16" s="8"/>
      <c r="C16" s="8"/>
      <c r="D16" s="10"/>
      <c r="E16" s="8"/>
      <c r="F16" s="8"/>
      <c r="G16" s="10"/>
      <c r="H16" s="8"/>
      <c r="I16" s="8"/>
      <c r="J16" s="10"/>
      <c r="K16" s="8"/>
      <c r="L16" s="8"/>
      <c r="M16" s="10"/>
      <c r="N16" s="8"/>
      <c r="O16" s="8"/>
      <c r="P16" s="10"/>
    </row>
    <row r="17" spans="2:16">
      <c r="B17" s="8"/>
      <c r="C17" s="8"/>
      <c r="D17" s="10"/>
      <c r="E17" s="8"/>
      <c r="F17" s="8"/>
      <c r="G17" s="10"/>
      <c r="H17" s="8"/>
      <c r="I17" s="8"/>
      <c r="J17" s="10"/>
      <c r="K17" s="8"/>
      <c r="L17" s="8"/>
      <c r="M17" s="10"/>
      <c r="N17" s="8"/>
      <c r="O17" s="8"/>
      <c r="P17" s="10"/>
    </row>
    <row r="18" spans="2:16">
      <c r="B18" s="8"/>
      <c r="C18" s="8"/>
      <c r="D18" s="10"/>
      <c r="E18" s="8"/>
      <c r="F18" s="8"/>
      <c r="G18" s="10"/>
      <c r="H18" s="8"/>
      <c r="I18" s="8"/>
      <c r="J18" s="10"/>
      <c r="K18" s="8"/>
      <c r="L18" s="8"/>
      <c r="M18" s="10"/>
      <c r="N18" s="8"/>
      <c r="O18" s="8"/>
      <c r="P18" s="10"/>
    </row>
    <row r="19" spans="2:16">
      <c r="B19" s="8"/>
      <c r="C19" s="8"/>
      <c r="D19" s="10"/>
      <c r="E19" s="8"/>
      <c r="F19" s="8"/>
      <c r="G19" s="10"/>
      <c r="H19" s="8"/>
      <c r="I19" s="8"/>
      <c r="J19" s="10"/>
      <c r="K19" s="8"/>
      <c r="L19" s="8"/>
      <c r="M19" s="10"/>
      <c r="N19" s="8"/>
      <c r="O19" s="8"/>
      <c r="P19" s="10"/>
    </row>
    <row r="20" spans="2:16">
      <c r="B20" s="8"/>
      <c r="C20" s="8"/>
      <c r="D20" s="10"/>
      <c r="E20" s="8"/>
      <c r="F20" s="8"/>
      <c r="G20" s="10"/>
      <c r="H20" s="8"/>
      <c r="I20" s="8"/>
      <c r="J20" s="10"/>
      <c r="K20" s="8"/>
      <c r="L20" s="8"/>
      <c r="M20" s="10"/>
      <c r="N20" s="8"/>
      <c r="O20" s="8"/>
      <c r="P20" s="10"/>
    </row>
    <row r="21" spans="2:16">
      <c r="B21" s="8"/>
      <c r="C21" s="8"/>
      <c r="D21" s="10"/>
      <c r="E21" s="8"/>
      <c r="F21" s="8"/>
      <c r="G21" s="10"/>
      <c r="H21" s="8"/>
      <c r="I21" s="8"/>
      <c r="J21" s="10"/>
      <c r="K21" s="8"/>
      <c r="L21" s="8"/>
      <c r="M21" s="10"/>
      <c r="N21" s="8"/>
      <c r="O21" s="8"/>
      <c r="P21" s="10"/>
    </row>
    <row r="22" spans="2:16">
      <c r="B22" s="8"/>
      <c r="C22" s="8"/>
      <c r="D22" s="10"/>
      <c r="E22" s="8"/>
      <c r="F22" s="8"/>
      <c r="G22" s="10"/>
      <c r="H22" s="8"/>
      <c r="I22" s="8"/>
      <c r="J22" s="10"/>
      <c r="K22" s="8"/>
      <c r="L22" s="8"/>
      <c r="M22" s="10"/>
      <c r="N22" s="8"/>
      <c r="O22" s="8"/>
      <c r="P22" s="10"/>
    </row>
    <row r="23" spans="2:16">
      <c r="B23" s="8"/>
      <c r="C23" s="8"/>
      <c r="D23" s="10"/>
      <c r="E23" s="8"/>
      <c r="F23" s="8"/>
      <c r="G23" s="10"/>
      <c r="H23" s="8"/>
      <c r="I23" s="8"/>
      <c r="J23" s="10"/>
      <c r="K23" s="8"/>
      <c r="L23" s="8"/>
      <c r="M23" s="10"/>
      <c r="N23" s="8"/>
      <c r="O23" s="8"/>
      <c r="P23" s="10"/>
    </row>
    <row r="24" spans="2:16">
      <c r="B24" s="8"/>
      <c r="C24" s="8"/>
      <c r="D24" s="10"/>
      <c r="E24" s="8"/>
      <c r="F24" s="8"/>
      <c r="G24" s="10"/>
      <c r="H24" s="8"/>
      <c r="I24" s="8"/>
      <c r="J24" s="10"/>
      <c r="K24" s="8"/>
      <c r="L24" s="8"/>
      <c r="M24" s="10"/>
      <c r="N24" s="8"/>
      <c r="O24" s="8"/>
      <c r="P24" s="10"/>
    </row>
    <row r="25" spans="2:16">
      <c r="B25" s="8"/>
      <c r="C25" s="8"/>
      <c r="D25" s="10"/>
      <c r="E25" s="8"/>
      <c r="F25" s="8"/>
      <c r="G25" s="10"/>
      <c r="H25" s="8"/>
      <c r="I25" s="8"/>
      <c r="J25" s="10"/>
      <c r="K25" s="8"/>
      <c r="L25" s="8"/>
      <c r="M25" s="10"/>
      <c r="N25" s="8"/>
      <c r="O25" s="8"/>
      <c r="P25" s="10"/>
    </row>
    <row r="26" spans="2:16">
      <c r="B26" s="8"/>
      <c r="C26" s="8"/>
      <c r="D26" s="10"/>
      <c r="E26" s="8"/>
      <c r="F26" s="8"/>
      <c r="G26" s="10"/>
      <c r="H26" s="8"/>
      <c r="I26" s="8"/>
      <c r="J26" s="10"/>
      <c r="K26" s="8"/>
      <c r="L26" s="8"/>
      <c r="M26" s="10"/>
      <c r="N26" s="8"/>
      <c r="O26" s="8"/>
      <c r="P26" s="10"/>
    </row>
    <row r="27" spans="2:16">
      <c r="B27" s="8"/>
      <c r="C27" s="8"/>
      <c r="D27" s="10"/>
      <c r="E27" s="8"/>
      <c r="F27" s="8"/>
      <c r="G27" s="10"/>
      <c r="H27" s="8"/>
      <c r="I27" s="8"/>
      <c r="J27" s="10"/>
      <c r="K27" s="8"/>
      <c r="L27" s="8"/>
      <c r="M27" s="10"/>
      <c r="N27" s="8"/>
      <c r="O27" s="8"/>
      <c r="P27" s="10"/>
    </row>
    <row r="28" spans="2:16">
      <c r="B28" s="8"/>
      <c r="C28" s="8"/>
      <c r="D28" s="10"/>
      <c r="E28" s="8"/>
      <c r="F28" s="8"/>
      <c r="G28" s="10"/>
      <c r="H28" s="8"/>
      <c r="I28" s="8"/>
      <c r="J28" s="10"/>
      <c r="K28" s="8"/>
      <c r="L28" s="8"/>
      <c r="M28" s="10"/>
      <c r="N28" s="8"/>
      <c r="O28" s="8"/>
      <c r="P28" s="10"/>
    </row>
    <row r="29" spans="2:16">
      <c r="B29" s="8"/>
      <c r="C29" s="8"/>
      <c r="D29" s="10"/>
      <c r="E29" s="8"/>
      <c r="F29" s="8"/>
      <c r="G29" s="10"/>
      <c r="H29" s="8"/>
      <c r="I29" s="8"/>
      <c r="J29" s="10"/>
      <c r="K29" s="8"/>
      <c r="L29" s="8"/>
      <c r="M29" s="10"/>
      <c r="N29" s="8"/>
      <c r="O29" s="8"/>
      <c r="P29" s="10"/>
    </row>
    <row r="30" spans="2:16">
      <c r="B30" s="8"/>
      <c r="C30" s="8"/>
      <c r="D30" s="10"/>
      <c r="E30" s="8"/>
      <c r="F30" s="8"/>
      <c r="G30" s="10"/>
      <c r="H30" s="8"/>
      <c r="I30" s="8"/>
      <c r="J30" s="10"/>
      <c r="K30" s="8"/>
      <c r="L30" s="8"/>
      <c r="M30" s="10"/>
      <c r="N30" s="8"/>
      <c r="O30" s="8"/>
      <c r="P30" s="10"/>
    </row>
    <row r="31" spans="2:16">
      <c r="B31" s="8"/>
      <c r="C31" s="8"/>
      <c r="D31" s="10"/>
      <c r="E31" s="8"/>
      <c r="F31" s="8"/>
      <c r="G31" s="10"/>
      <c r="H31" s="8"/>
      <c r="I31" s="8"/>
      <c r="J31" s="10"/>
      <c r="K31" s="8"/>
      <c r="L31" s="8"/>
      <c r="M31" s="10"/>
      <c r="N31" s="8"/>
      <c r="O31" s="8"/>
      <c r="P31" s="10"/>
    </row>
    <row r="32" spans="2:16">
      <c r="B32" s="8"/>
      <c r="C32" s="8"/>
      <c r="D32" s="10"/>
      <c r="E32" s="8"/>
      <c r="F32" s="8"/>
      <c r="G32" s="10"/>
      <c r="H32" s="8"/>
      <c r="I32" s="8"/>
      <c r="J32" s="10"/>
      <c r="K32" s="8"/>
      <c r="L32" s="8"/>
      <c r="M32" s="10"/>
      <c r="N32" s="8"/>
      <c r="O32" s="8"/>
      <c r="P32" s="10"/>
    </row>
    <row r="33" spans="2:16">
      <c r="B33" s="8"/>
      <c r="C33" s="8"/>
      <c r="D33" s="10"/>
      <c r="E33" s="8"/>
      <c r="F33" s="8"/>
      <c r="G33" s="10"/>
      <c r="H33" s="8"/>
      <c r="I33" s="8"/>
      <c r="J33" s="10"/>
      <c r="K33" s="8"/>
      <c r="L33" s="8"/>
      <c r="M33" s="10"/>
      <c r="N33" s="8"/>
      <c r="O33" s="8"/>
      <c r="P33" s="10"/>
    </row>
    <row r="34" spans="2:16">
      <c r="B34" s="8"/>
      <c r="C34" s="8"/>
      <c r="D34" s="10"/>
      <c r="E34" s="8"/>
      <c r="F34" s="8"/>
      <c r="G34" s="10"/>
      <c r="H34" s="8"/>
      <c r="I34" s="8"/>
      <c r="J34" s="10"/>
      <c r="K34" s="8"/>
      <c r="L34" s="8"/>
      <c r="M34" s="10"/>
      <c r="N34" s="8"/>
      <c r="O34" s="8"/>
      <c r="P34" s="10"/>
    </row>
    <row r="35" spans="2:16">
      <c r="B35" s="8"/>
      <c r="C35" s="8"/>
      <c r="D35" s="10"/>
      <c r="E35" s="8"/>
      <c r="F35" s="8"/>
      <c r="G35" s="10"/>
      <c r="H35" s="8"/>
      <c r="I35" s="8"/>
      <c r="J35" s="10"/>
      <c r="K35" s="8"/>
      <c r="L35" s="8"/>
      <c r="M35" s="10"/>
      <c r="N35" s="8"/>
      <c r="O35" s="8"/>
      <c r="P35" s="10"/>
    </row>
    <row r="36" spans="2:16">
      <c r="B36" s="8"/>
      <c r="C36" s="8"/>
      <c r="D36" s="10"/>
      <c r="E36" s="8"/>
      <c r="F36" s="8"/>
      <c r="G36" s="10"/>
      <c r="H36" s="8"/>
      <c r="I36" s="8"/>
      <c r="J36" s="10"/>
      <c r="K36" s="8"/>
      <c r="L36" s="8"/>
      <c r="M36" s="10"/>
      <c r="N36" s="8"/>
      <c r="O36" s="8"/>
      <c r="P36" s="10"/>
    </row>
    <row r="37" spans="2:16">
      <c r="B37" s="8"/>
      <c r="C37" s="8"/>
      <c r="D37" s="10"/>
      <c r="E37" s="8"/>
      <c r="F37" s="8"/>
      <c r="G37" s="10"/>
      <c r="H37" s="8"/>
      <c r="I37" s="8"/>
      <c r="J37" s="10"/>
      <c r="K37" s="8"/>
      <c r="L37" s="8"/>
      <c r="M37" s="10"/>
      <c r="N37" s="8"/>
      <c r="O37" s="8"/>
      <c r="P37" s="10"/>
    </row>
    <row r="38" spans="2:16">
      <c r="B38" s="8"/>
      <c r="C38" s="8"/>
      <c r="D38" s="10"/>
      <c r="E38" s="8"/>
      <c r="F38" s="8"/>
      <c r="G38" s="10"/>
      <c r="H38" s="8"/>
      <c r="I38" s="8"/>
      <c r="J38" s="10"/>
      <c r="K38" s="8"/>
      <c r="L38" s="8"/>
      <c r="M38" s="10"/>
      <c r="N38" s="8"/>
      <c r="O38" s="8"/>
      <c r="P38" s="10"/>
    </row>
    <row r="39" spans="2:16">
      <c r="B39" s="8"/>
      <c r="C39" s="8"/>
      <c r="D39" s="10"/>
      <c r="E39" s="8"/>
      <c r="F39" s="8"/>
      <c r="G39" s="10"/>
      <c r="H39" s="8"/>
      <c r="I39" s="8"/>
      <c r="J39" s="10"/>
      <c r="K39" s="8"/>
      <c r="L39" s="8"/>
      <c r="M39" s="10"/>
      <c r="N39" s="8"/>
      <c r="O39" s="8"/>
      <c r="P39" s="10"/>
    </row>
    <row r="40" spans="2:16">
      <c r="B40" s="8"/>
      <c r="C40" s="8"/>
      <c r="D40" s="10"/>
      <c r="E40" s="8"/>
      <c r="F40" s="8"/>
      <c r="G40" s="10"/>
      <c r="H40" s="8"/>
      <c r="I40" s="8"/>
      <c r="J40" s="10"/>
      <c r="K40" s="8"/>
      <c r="L40" s="8"/>
      <c r="M40" s="10"/>
      <c r="N40" s="8"/>
      <c r="O40" s="8"/>
      <c r="P40" s="10"/>
    </row>
  </sheetData>
  <mergeCells count="2">
    <mergeCell ref="B1:P1"/>
    <mergeCell ref="B2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0"/>
  <sheetViews>
    <sheetView showGridLines="0" workbookViewId="0"/>
  </sheetViews>
  <sheetFormatPr defaultRowHeight="15"/>
  <cols>
    <col min="1" max="1" width="3.7109375" customWidth="1"/>
    <col min="2" max="2" width="12.7109375" customWidth="1"/>
    <col min="3" max="9" width="15.7109375" customWidth="1"/>
    <col min="10" max="10" width="28.7109375" customWidth="1"/>
  </cols>
  <sheetData>
    <row r="1" spans="2:10" ht="25" customHeight="1">
      <c r="B1" s="1" t="s">
        <v>107</v>
      </c>
      <c r="C1" s="1"/>
      <c r="D1" s="1"/>
      <c r="E1" s="1"/>
      <c r="F1" s="1"/>
      <c r="G1" s="1"/>
      <c r="H1" s="1"/>
      <c r="I1" s="1"/>
      <c r="J1" s="1"/>
    </row>
    <row r="2" spans="2:10" ht="20" customHeight="1">
      <c r="B2" s="2" t="s">
        <v>108</v>
      </c>
      <c r="C2" s="2"/>
      <c r="D2" s="2"/>
      <c r="E2" s="2"/>
      <c r="F2" s="2"/>
      <c r="G2" s="2"/>
      <c r="H2" s="2"/>
      <c r="I2" s="2"/>
      <c r="J2" s="2"/>
    </row>
    <row r="3" spans="2:10" ht="20" customHeight="1"/>
    <row r="4" spans="2:10" ht="10" customHeight="1"/>
    <row r="5" spans="2:10" ht="25" customHeight="1">
      <c r="B5" s="9" t="s">
        <v>57</v>
      </c>
      <c r="C5" s="9" t="s">
        <v>109</v>
      </c>
      <c r="D5" s="9" t="s">
        <v>110</v>
      </c>
      <c r="E5" s="9" t="s">
        <v>111</v>
      </c>
      <c r="F5" s="9" t="s">
        <v>112</v>
      </c>
      <c r="G5" s="9" t="s">
        <v>113</v>
      </c>
      <c r="H5" s="9" t="s">
        <v>114</v>
      </c>
      <c r="I5" s="9" t="s">
        <v>115</v>
      </c>
      <c r="J5" s="9" t="s">
        <v>116</v>
      </c>
    </row>
    <row r="6" spans="2:10">
      <c r="B6" s="8" t="s">
        <v>67</v>
      </c>
      <c r="C6" s="8">
        <v>1</v>
      </c>
      <c r="D6" s="8">
        <v>1</v>
      </c>
      <c r="E6" s="8">
        <v>1</v>
      </c>
      <c r="F6" s="8">
        <v>1</v>
      </c>
      <c r="G6" s="8">
        <v>0</v>
      </c>
      <c r="H6" s="12">
        <v>9200</v>
      </c>
      <c r="I6" s="7">
        <f>(SUM(C6:G6) + IF(H6&gt;=8000, 1, 0)) / 6</f>
        <v>0</v>
      </c>
      <c r="J6" s="10" t="s">
        <v>117</v>
      </c>
    </row>
    <row r="7" spans="2:10">
      <c r="B7" s="8" t="s">
        <v>118</v>
      </c>
      <c r="C7" s="8">
        <v>1</v>
      </c>
      <c r="D7" s="8">
        <v>1</v>
      </c>
      <c r="E7" s="8">
        <v>0</v>
      </c>
      <c r="F7" s="8">
        <v>1</v>
      </c>
      <c r="G7" s="8">
        <v>1</v>
      </c>
      <c r="H7" s="12">
        <v>8100</v>
      </c>
      <c r="I7" s="7">
        <f>(SUM(C7:G7) + IF(H7&gt;=8000, 1, 0)) / 6</f>
        <v>0</v>
      </c>
      <c r="J7" s="10" t="s">
        <v>119</v>
      </c>
    </row>
    <row r="8" spans="2:10">
      <c r="B8" s="8" t="s">
        <v>77</v>
      </c>
      <c r="C8" s="8">
        <v>0</v>
      </c>
      <c r="D8" s="8">
        <v>1</v>
      </c>
      <c r="E8" s="8">
        <v>1</v>
      </c>
      <c r="F8" s="8">
        <v>1</v>
      </c>
      <c r="G8" s="8">
        <v>0</v>
      </c>
      <c r="H8" s="12">
        <v>6500</v>
      </c>
      <c r="I8" s="7">
        <f>(SUM(C8:G8) + IF(H8&gt;=8000, 1, 0)) / 6</f>
        <v>0</v>
      </c>
      <c r="J8" s="10" t="s">
        <v>120</v>
      </c>
    </row>
    <row r="9" spans="2:10">
      <c r="B9" s="8" t="s">
        <v>121</v>
      </c>
      <c r="C9" s="8">
        <v>1</v>
      </c>
      <c r="D9" s="8">
        <v>1</v>
      </c>
      <c r="E9" s="8">
        <v>1</v>
      </c>
      <c r="F9" s="8">
        <v>1</v>
      </c>
      <c r="G9" s="8">
        <v>1</v>
      </c>
      <c r="H9" s="12">
        <v>10500</v>
      </c>
      <c r="I9" s="7">
        <f>(SUM(C9:G9) + IF(H9&gt;=8000, 1, 0)) / 6</f>
        <v>0</v>
      </c>
      <c r="J9" s="10" t="s">
        <v>122</v>
      </c>
    </row>
    <row r="10" spans="2:10">
      <c r="B10" s="8" t="s">
        <v>87</v>
      </c>
      <c r="C10" s="8">
        <v>1</v>
      </c>
      <c r="D10" s="8">
        <v>1</v>
      </c>
      <c r="E10" s="8">
        <v>1</v>
      </c>
      <c r="F10" s="8">
        <v>1</v>
      </c>
      <c r="G10" s="8">
        <v>0</v>
      </c>
      <c r="H10" s="12">
        <v>7200</v>
      </c>
      <c r="I10" s="7">
        <f>(SUM(C10:G10) + IF(H10&gt;=8000, 1, 0)) / 6</f>
        <v>0</v>
      </c>
      <c r="J10" s="10" t="s">
        <v>123</v>
      </c>
    </row>
    <row r="11" spans="2:10">
      <c r="B11" s="8" t="s">
        <v>124</v>
      </c>
      <c r="C11" s="8">
        <v>1</v>
      </c>
      <c r="D11" s="8">
        <v>1</v>
      </c>
      <c r="E11" s="8">
        <v>0</v>
      </c>
      <c r="F11" s="8">
        <v>0</v>
      </c>
      <c r="G11" s="8">
        <v>1</v>
      </c>
      <c r="H11" s="12">
        <v>9500</v>
      </c>
      <c r="I11" s="7">
        <f>(SUM(C11:G11) + IF(H11&gt;=8000, 1, 0)) / 6</f>
        <v>0</v>
      </c>
      <c r="J11" s="10" t="s">
        <v>125</v>
      </c>
    </row>
    <row r="12" spans="2:10">
      <c r="B12" s="8"/>
      <c r="C12" s="8"/>
      <c r="D12" s="8"/>
      <c r="E12" s="8"/>
      <c r="F12" s="8"/>
      <c r="G12" s="8"/>
      <c r="H12" s="12"/>
      <c r="I12" s="7">
        <f>IF(COUNT(C12:G12)&gt;0, (SUM(C12:G12) + IF(H12&gt;=8000, 1, 0)) / 6, 0)</f>
        <v>0</v>
      </c>
      <c r="J12" s="10"/>
    </row>
    <row r="13" spans="2:10">
      <c r="B13" s="8"/>
      <c r="C13" s="8"/>
      <c r="D13" s="8"/>
      <c r="E13" s="8"/>
      <c r="F13" s="8"/>
      <c r="G13" s="8"/>
      <c r="H13" s="12"/>
      <c r="I13" s="7">
        <f>IF(COUNT(C13:G13)&gt;0, (SUM(C13:G13) + IF(H13&gt;=8000, 1, 0)) / 6, 0)</f>
        <v>0</v>
      </c>
      <c r="J13" s="10"/>
    </row>
    <row r="14" spans="2:10">
      <c r="B14" s="8"/>
      <c r="C14" s="8"/>
      <c r="D14" s="8"/>
      <c r="E14" s="8"/>
      <c r="F14" s="8"/>
      <c r="G14" s="8"/>
      <c r="H14" s="12"/>
      <c r="I14" s="7">
        <f>IF(COUNT(C14:G14)&gt;0, (SUM(C14:G14) + IF(H14&gt;=8000, 1, 0)) / 6, 0)</f>
        <v>0</v>
      </c>
      <c r="J14" s="10"/>
    </row>
    <row r="15" spans="2:10">
      <c r="B15" s="8"/>
      <c r="C15" s="8"/>
      <c r="D15" s="8"/>
      <c r="E15" s="8"/>
      <c r="F15" s="8"/>
      <c r="G15" s="8"/>
      <c r="H15" s="12"/>
      <c r="I15" s="7">
        <f>IF(COUNT(C15:G15)&gt;0, (SUM(C15:G15) + IF(H15&gt;=8000, 1, 0)) / 6, 0)</f>
        <v>0</v>
      </c>
      <c r="J15" s="10"/>
    </row>
    <row r="16" spans="2:10">
      <c r="B16" s="8"/>
      <c r="C16" s="8"/>
      <c r="D16" s="8"/>
      <c r="E16" s="8"/>
      <c r="F16" s="8"/>
      <c r="G16" s="8"/>
      <c r="H16" s="12"/>
      <c r="I16" s="7">
        <f>IF(COUNT(C16:G16)&gt;0, (SUM(C16:G16) + IF(H16&gt;=8000, 1, 0)) / 6, 0)</f>
        <v>0</v>
      </c>
      <c r="J16" s="10"/>
    </row>
    <row r="17" spans="2:10">
      <c r="B17" s="8"/>
      <c r="C17" s="8"/>
      <c r="D17" s="8"/>
      <c r="E17" s="8"/>
      <c r="F17" s="8"/>
      <c r="G17" s="8"/>
      <c r="H17" s="12"/>
      <c r="I17" s="7">
        <f>IF(COUNT(C17:G17)&gt;0, (SUM(C17:G17) + IF(H17&gt;=8000, 1, 0)) / 6, 0)</f>
        <v>0</v>
      </c>
      <c r="J17" s="10"/>
    </row>
    <row r="18" spans="2:10">
      <c r="B18" s="8"/>
      <c r="C18" s="8"/>
      <c r="D18" s="8"/>
      <c r="E18" s="8"/>
      <c r="F18" s="8"/>
      <c r="G18" s="8"/>
      <c r="H18" s="12"/>
      <c r="I18" s="7">
        <f>IF(COUNT(C18:G18)&gt;0, (SUM(C18:G18) + IF(H18&gt;=8000, 1, 0)) / 6, 0)</f>
        <v>0</v>
      </c>
      <c r="J18" s="10"/>
    </row>
    <row r="19" spans="2:10">
      <c r="B19" s="8"/>
      <c r="C19" s="8"/>
      <c r="D19" s="8"/>
      <c r="E19" s="8"/>
      <c r="F19" s="8"/>
      <c r="G19" s="8"/>
      <c r="H19" s="12"/>
      <c r="I19" s="7">
        <f>IF(COUNT(C19:G19)&gt;0, (SUM(C19:G19) + IF(H19&gt;=8000, 1, 0)) / 6, 0)</f>
        <v>0</v>
      </c>
      <c r="J19" s="10"/>
    </row>
    <row r="20" spans="2:10">
      <c r="B20" s="8"/>
      <c r="C20" s="8"/>
      <c r="D20" s="8"/>
      <c r="E20" s="8"/>
      <c r="F20" s="8"/>
      <c r="G20" s="8"/>
      <c r="H20" s="12"/>
      <c r="I20" s="7">
        <f>IF(COUNT(C20:G20)&gt;0, (SUM(C20:G20) + IF(H20&gt;=8000, 1, 0)) / 6, 0)</f>
        <v>0</v>
      </c>
      <c r="J20" s="10"/>
    </row>
    <row r="21" spans="2:10">
      <c r="B21" s="8"/>
      <c r="C21" s="8"/>
      <c r="D21" s="8"/>
      <c r="E21" s="8"/>
      <c r="F21" s="8"/>
      <c r="G21" s="8"/>
      <c r="H21" s="12"/>
      <c r="I21" s="7">
        <f>IF(COUNT(C21:G21)&gt;0, (SUM(C21:G21) + IF(H21&gt;=8000, 1, 0)) / 6, 0)</f>
        <v>0</v>
      </c>
      <c r="J21" s="10"/>
    </row>
    <row r="22" spans="2:10">
      <c r="B22" s="8"/>
      <c r="C22" s="8"/>
      <c r="D22" s="8"/>
      <c r="E22" s="8"/>
      <c r="F22" s="8"/>
      <c r="G22" s="8"/>
      <c r="H22" s="12"/>
      <c r="I22" s="7">
        <f>IF(COUNT(C22:G22)&gt;0, (SUM(C22:G22) + IF(H22&gt;=8000, 1, 0)) / 6, 0)</f>
        <v>0</v>
      </c>
      <c r="J22" s="10"/>
    </row>
    <row r="23" spans="2:10">
      <c r="B23" s="8"/>
      <c r="C23" s="8"/>
      <c r="D23" s="8"/>
      <c r="E23" s="8"/>
      <c r="F23" s="8"/>
      <c r="G23" s="8"/>
      <c r="H23" s="12"/>
      <c r="I23" s="7">
        <f>IF(COUNT(C23:G23)&gt;0, (SUM(C23:G23) + IF(H23&gt;=8000, 1, 0)) / 6, 0)</f>
        <v>0</v>
      </c>
      <c r="J23" s="10"/>
    </row>
    <row r="24" spans="2:10">
      <c r="B24" s="8"/>
      <c r="C24" s="8"/>
      <c r="D24" s="8"/>
      <c r="E24" s="8"/>
      <c r="F24" s="8"/>
      <c r="G24" s="8"/>
      <c r="H24" s="12"/>
      <c r="I24" s="7">
        <f>IF(COUNT(C24:G24)&gt;0, (SUM(C24:G24) + IF(H24&gt;=8000, 1, 0)) / 6, 0)</f>
        <v>0</v>
      </c>
      <c r="J24" s="10"/>
    </row>
    <row r="25" spans="2:10">
      <c r="B25" s="8"/>
      <c r="C25" s="8"/>
      <c r="D25" s="8"/>
      <c r="E25" s="8"/>
      <c r="F25" s="8"/>
      <c r="G25" s="8"/>
      <c r="H25" s="12"/>
      <c r="I25" s="7">
        <f>IF(COUNT(C25:G25)&gt;0, (SUM(C25:G25) + IF(H25&gt;=8000, 1, 0)) / 6, 0)</f>
        <v>0</v>
      </c>
      <c r="J25" s="10"/>
    </row>
    <row r="26" spans="2:10">
      <c r="B26" s="8"/>
      <c r="C26" s="8"/>
      <c r="D26" s="8"/>
      <c r="E26" s="8"/>
      <c r="F26" s="8"/>
      <c r="G26" s="8"/>
      <c r="H26" s="12"/>
      <c r="I26" s="7">
        <f>IF(COUNT(C26:G26)&gt;0, (SUM(C26:G26) + IF(H26&gt;=8000, 1, 0)) / 6, 0)</f>
        <v>0</v>
      </c>
      <c r="J26" s="10"/>
    </row>
    <row r="27" spans="2:10">
      <c r="B27" s="8"/>
      <c r="C27" s="8"/>
      <c r="D27" s="8"/>
      <c r="E27" s="8"/>
      <c r="F27" s="8"/>
      <c r="G27" s="8"/>
      <c r="H27" s="12"/>
      <c r="I27" s="7">
        <f>IF(COUNT(C27:G27)&gt;0, (SUM(C27:G27) + IF(H27&gt;=8000, 1, 0)) / 6, 0)</f>
        <v>0</v>
      </c>
      <c r="J27" s="10"/>
    </row>
    <row r="28" spans="2:10">
      <c r="B28" s="8"/>
      <c r="C28" s="8"/>
      <c r="D28" s="8"/>
      <c r="E28" s="8"/>
      <c r="F28" s="8"/>
      <c r="G28" s="8"/>
      <c r="H28" s="12"/>
      <c r="I28" s="7">
        <f>IF(COUNT(C28:G28)&gt;0, (SUM(C28:G28) + IF(H28&gt;=8000, 1, 0)) / 6, 0)</f>
        <v>0</v>
      </c>
      <c r="J28" s="10"/>
    </row>
    <row r="29" spans="2:10">
      <c r="B29" s="8"/>
      <c r="C29" s="8"/>
      <c r="D29" s="8"/>
      <c r="E29" s="8"/>
      <c r="F29" s="8"/>
      <c r="G29" s="8"/>
      <c r="H29" s="12"/>
      <c r="I29" s="7">
        <f>IF(COUNT(C29:G29)&gt;0, (SUM(C29:G29) + IF(H29&gt;=8000, 1, 0)) / 6, 0)</f>
        <v>0</v>
      </c>
      <c r="J29" s="10"/>
    </row>
    <row r="30" spans="2:10">
      <c r="B30" s="8"/>
      <c r="C30" s="8"/>
      <c r="D30" s="8"/>
      <c r="E30" s="8"/>
      <c r="F30" s="8"/>
      <c r="G30" s="8"/>
      <c r="H30" s="12"/>
      <c r="I30" s="7">
        <f>IF(COUNT(C30:G30)&gt;0, (SUM(C30:G30) + IF(H30&gt;=8000, 1, 0)) / 6, 0)</f>
        <v>0</v>
      </c>
      <c r="J30" s="10"/>
    </row>
    <row r="31" spans="2:10">
      <c r="B31" s="8"/>
      <c r="C31" s="8"/>
      <c r="D31" s="8"/>
      <c r="E31" s="8"/>
      <c r="F31" s="8"/>
      <c r="G31" s="8"/>
      <c r="H31" s="12"/>
      <c r="I31" s="7">
        <f>IF(COUNT(C31:G31)&gt;0, (SUM(C31:G31) + IF(H31&gt;=8000, 1, 0)) / 6, 0)</f>
        <v>0</v>
      </c>
      <c r="J31" s="10"/>
    </row>
    <row r="32" spans="2:10">
      <c r="B32" s="8"/>
      <c r="C32" s="8"/>
      <c r="D32" s="8"/>
      <c r="E32" s="8"/>
      <c r="F32" s="8"/>
      <c r="G32" s="8"/>
      <c r="H32" s="12"/>
      <c r="I32" s="7">
        <f>IF(COUNT(C32:G32)&gt;0, (SUM(C32:G32) + IF(H32&gt;=8000, 1, 0)) / 6, 0)</f>
        <v>0</v>
      </c>
      <c r="J32" s="10"/>
    </row>
    <row r="33" spans="2:10">
      <c r="B33" s="8"/>
      <c r="C33" s="8"/>
      <c r="D33" s="8"/>
      <c r="E33" s="8"/>
      <c r="F33" s="8"/>
      <c r="G33" s="8"/>
      <c r="H33" s="12"/>
      <c r="I33" s="7">
        <f>IF(COUNT(C33:G33)&gt;0, (SUM(C33:G33) + IF(H33&gt;=8000, 1, 0)) / 6, 0)</f>
        <v>0</v>
      </c>
      <c r="J33" s="10"/>
    </row>
    <row r="34" spans="2:10">
      <c r="B34" s="8"/>
      <c r="C34" s="8"/>
      <c r="D34" s="8"/>
      <c r="E34" s="8"/>
      <c r="F34" s="8"/>
      <c r="G34" s="8"/>
      <c r="H34" s="12"/>
      <c r="I34" s="7">
        <f>IF(COUNT(C34:G34)&gt;0, (SUM(C34:G34) + IF(H34&gt;=8000, 1, 0)) / 6, 0)</f>
        <v>0</v>
      </c>
      <c r="J34" s="10"/>
    </row>
    <row r="35" spans="2:10">
      <c r="B35" s="8"/>
      <c r="C35" s="8"/>
      <c r="D35" s="8"/>
      <c r="E35" s="8"/>
      <c r="F35" s="8"/>
      <c r="G35" s="8"/>
      <c r="H35" s="12"/>
      <c r="I35" s="7">
        <f>IF(COUNT(C35:G35)&gt;0, (SUM(C35:G35) + IF(H35&gt;=8000, 1, 0)) / 6, 0)</f>
        <v>0</v>
      </c>
      <c r="J35" s="10"/>
    </row>
    <row r="36" spans="2:10">
      <c r="B36" s="8"/>
      <c r="C36" s="8"/>
      <c r="D36" s="8"/>
      <c r="E36" s="8"/>
      <c r="F36" s="8"/>
      <c r="G36" s="8"/>
      <c r="H36" s="12"/>
      <c r="I36" s="7">
        <f>IF(COUNT(C36:G36)&gt;0, (SUM(C36:G36) + IF(H36&gt;=8000, 1, 0)) / 6, 0)</f>
        <v>0</v>
      </c>
      <c r="J36" s="10"/>
    </row>
    <row r="37" spans="2:10">
      <c r="B37" s="8"/>
      <c r="C37" s="8"/>
      <c r="D37" s="8"/>
      <c r="E37" s="8"/>
      <c r="F37" s="8"/>
      <c r="G37" s="8"/>
      <c r="H37" s="12"/>
      <c r="I37" s="7">
        <f>IF(COUNT(C37:G37)&gt;0, (SUM(C37:G37) + IF(H37&gt;=8000, 1, 0)) / 6, 0)</f>
        <v>0</v>
      </c>
      <c r="J37" s="10"/>
    </row>
    <row r="38" spans="2:10">
      <c r="B38" s="8"/>
      <c r="C38" s="8"/>
      <c r="D38" s="8"/>
      <c r="E38" s="8"/>
      <c r="F38" s="8"/>
      <c r="G38" s="8"/>
      <c r="H38" s="12"/>
      <c r="I38" s="7">
        <f>IF(COUNT(C38:G38)&gt;0, (SUM(C38:G38) + IF(H38&gt;=8000, 1, 0)) / 6, 0)</f>
        <v>0</v>
      </c>
      <c r="J38" s="10"/>
    </row>
    <row r="39" spans="2:10">
      <c r="B39" s="8"/>
      <c r="C39" s="8"/>
      <c r="D39" s="8"/>
      <c r="E39" s="8"/>
      <c r="F39" s="8"/>
      <c r="G39" s="8"/>
      <c r="H39" s="12"/>
      <c r="I39" s="7">
        <f>IF(COUNT(C39:G39)&gt;0, (SUM(C39:G39) + IF(H39&gt;=8000, 1, 0)) / 6, 0)</f>
        <v>0</v>
      </c>
      <c r="J39" s="10"/>
    </row>
    <row r="40" spans="2:10">
      <c r="B40" s="8"/>
      <c r="C40" s="8"/>
      <c r="D40" s="8"/>
      <c r="E40" s="8"/>
      <c r="F40" s="8"/>
      <c r="G40" s="8"/>
      <c r="H40" s="12"/>
      <c r="I40" s="7">
        <f>IF(COUNT(C40:G40)&gt;0, (SUM(C40:G40) + IF(H40&gt;=8000, 1, 0)) / 6, 0)</f>
        <v>0</v>
      </c>
      <c r="J40" s="10"/>
    </row>
  </sheetData>
  <mergeCells count="2">
    <mergeCell ref="B1:J1"/>
    <mergeCell ref="B2:J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"/>
  <sheetViews>
    <sheetView showGridLines="0" workbookViewId="0"/>
  </sheetViews>
  <sheetFormatPr defaultRowHeight="15"/>
  <cols>
    <col min="1" max="1" width="3.7109375" customWidth="1"/>
    <col min="2" max="2" width="30.7109375" customWidth="1"/>
    <col min="3" max="3" width="85.7109375" customWidth="1"/>
  </cols>
  <sheetData>
    <row r="1" spans="2:3" ht="25" customHeight="1">
      <c r="B1" s="1" t="s">
        <v>126</v>
      </c>
      <c r="C1" s="1"/>
    </row>
    <row r="2" spans="2:3" ht="20" customHeight="1">
      <c r="B2" s="2" t="s">
        <v>127</v>
      </c>
      <c r="C2" s="2"/>
    </row>
    <row r="3" spans="2:3" ht="20" customHeight="1"/>
    <row r="4" spans="2:3" ht="10" customHeight="1">
      <c r="B4" s="11" t="s">
        <v>128</v>
      </c>
      <c r="C4" s="11" t="s">
        <v>129</v>
      </c>
    </row>
    <row r="5" spans="2:3" ht="150" customHeight="1">
      <c r="B5" s="10" t="s">
        <v>130</v>
      </c>
      <c r="C5" s="13" t="s">
        <v>131</v>
      </c>
    </row>
    <row r="6" spans="2:3" ht="120" customHeight="1">
      <c r="B6" s="10" t="s">
        <v>132</v>
      </c>
      <c r="C6" s="13" t="s">
        <v>133</v>
      </c>
    </row>
    <row r="7" spans="2:3" ht="120" customHeight="1">
      <c r="B7" s="10" t="s">
        <v>134</v>
      </c>
      <c r="C7" s="13" t="s">
        <v>135</v>
      </c>
    </row>
  </sheetData>
  <mergeCells count="2">
    <mergeCell ref="B1:C1"/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Longevity Dashboard</vt:lpstr>
      <vt:lpstr>Workout Tracker (40+)</vt:lpstr>
      <vt:lpstr>Recovery &amp; Habits Checklist</vt:lpstr>
      <vt:lpstr>AI Meal Planner Prompts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2026-06-13T21:18:09Z</dcterms:created>
  <dcterms:modified xsi:type="dcterms:W3CDTF">2026-06-13T21:18:09Z</dcterms:modified>
</cp:coreProperties>
</file>